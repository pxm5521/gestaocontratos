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OLUTIVA" sheetId="1" state="visible" r:id="rId3"/>
    <sheet name="BASE DE DADOS" sheetId="2" state="visible" r:id="rId4"/>
  </sheets>
  <definedNames>
    <definedName function="false" hidden="false" localSheetId="0" name="_xlnm.Print_Area" vbProcedure="false">DEVOLUTIVA!$A$1:$I$32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<sst xmlns="http://schemas.openxmlformats.org/spreadsheetml/2006/main" count="97" uniqueCount="95">
  <si>
    <t xml:space="preserve"> MEDIÇÃO DE SERVIÇOS Nº: </t>
  </si>
  <si>
    <t xml:space="preserve">{{MARCO_NUMERO}}</t>
  </si>
  <si>
    <t xml:space="preserve"> Data: </t>
  </si>
  <si>
    <t xml:space="preserve">Contrato / PO:</t>
  </si>
  <si>
    <t xml:space="preserve">{{DATA_GERACAO}}</t>
  </si>
  <si>
    <t xml:space="preserve">{{CONTRATO_NUMERO}}</t>
  </si>
  <si>
    <t xml:space="preserve">CONTRATADA:</t>
  </si>
  <si>
    <t xml:space="preserve">{{FORNECEDOR}}</t>
  </si>
  <si>
    <t xml:space="preserve">CNPJ:</t>
  </si>
  <si>
    <t xml:space="preserve">{{CNPJ_FORNECEDOR}}</t>
  </si>
  <si>
    <t xml:space="preserve">CONTRATANTE:</t>
  </si>
  <si>
    <t xml:space="preserve">{{CLIENTE}}</t>
  </si>
  <si>
    <t xml:space="preserve">{{CNPJ_CLIENTE}}</t>
  </si>
  <si>
    <t xml:space="preserve">SERVIÇO:  </t>
  </si>
  <si>
    <t xml:space="preserve">{{ESCOPO}}</t>
  </si>
  <si>
    <t xml:space="preserve">#</t>
  </si>
  <si>
    <t xml:space="preserve">Serviço</t>
  </si>
  <si>
    <t xml:space="preserve">Unidade</t>
  </si>
  <si>
    <t xml:space="preserve">Quantidade</t>
  </si>
  <si>
    <t xml:space="preserve">Valor unitário</t>
  </si>
  <si>
    <t xml:space="preserve">Total</t>
  </si>
  <si>
    <t xml:space="preserve">{{LINHA1_CODIGO}}</t>
  </si>
  <si>
    <t xml:space="preserve">{{LINHA1_DESCRICAO}}</t>
  </si>
  <si>
    <t xml:space="preserve">{{LINHA1_UNIDADE}}</t>
  </si>
  <si>
    <t xml:space="preserve">{{LINHA1_QTD}}</t>
  </si>
  <si>
    <t xml:space="preserve">{{LINHA1_VALOR_UNIT}}</t>
  </si>
  <si>
    <t xml:space="preserve">{{LINHA2_CODIGO}}</t>
  </si>
  <si>
    <t xml:space="preserve">{{LINHA2_DESCRICAO}}</t>
  </si>
  <si>
    <t xml:space="preserve">{{LINHA2_UNIDADE}}</t>
  </si>
  <si>
    <t xml:space="preserve">{{LINHA2_QTD}}</t>
  </si>
  <si>
    <t xml:space="preserve">{{LINHA2_VALOR_UNIT}}</t>
  </si>
  <si>
    <t xml:space="preserve">{{LINHA3_CODIGO}}</t>
  </si>
  <si>
    <t xml:space="preserve">{{LINHA3_DESCRICAO}}</t>
  </si>
  <si>
    <t xml:space="preserve">{{LINHA3_UNIDADE}}</t>
  </si>
  <si>
    <t xml:space="preserve">{{LINHA3_QTD}}</t>
  </si>
  <si>
    <t xml:space="preserve">{{LINHA3_VALOR_UNIT}}</t>
  </si>
  <si>
    <t xml:space="preserve">{{LINHA4_CODIGO}}</t>
  </si>
  <si>
    <t xml:space="preserve">{{LINHA4_DESCRICAO}}</t>
  </si>
  <si>
    <t xml:space="preserve">{{LINHA4_UNIDADE}}</t>
  </si>
  <si>
    <t xml:space="preserve">{{LINHA4_QTD}}</t>
  </si>
  <si>
    <t xml:space="preserve">{{LINHA4_VALOR_UNIT}}</t>
  </si>
  <si>
    <t xml:space="preserve">{{LINHA5_CODIGO}}</t>
  </si>
  <si>
    <t xml:space="preserve">{{LINHA5_DESCRICAO}}</t>
  </si>
  <si>
    <t xml:space="preserve">{{LINHA5_UNIDADE}}</t>
  </si>
  <si>
    <t xml:space="preserve">{{LINHA5_QTD}}</t>
  </si>
  <si>
    <t xml:space="preserve">{{LINHA5_VALOR_UNIT}}</t>
  </si>
  <si>
    <t xml:space="preserve">{{LINHA6_CODIGO}}</t>
  </si>
  <si>
    <t xml:space="preserve">{{LINHA6_DESCRICAO}}</t>
  </si>
  <si>
    <t xml:space="preserve">{{LINHA6_UNIDADE}}</t>
  </si>
  <si>
    <t xml:space="preserve">{{LINHA6_QTD}}</t>
  </si>
  <si>
    <t xml:space="preserve">{{LINHA6_VALOR_UNIT}}</t>
  </si>
  <si>
    <t xml:space="preserve">{{LINHA7_CODIGO}}</t>
  </si>
  <si>
    <t xml:space="preserve">{{LINHA7_DESCRICAO}}</t>
  </si>
  <si>
    <t xml:space="preserve">{{LINHA7_UNIDADE}}</t>
  </si>
  <si>
    <t xml:space="preserve">{{LINHA7_QTD}}</t>
  </si>
  <si>
    <t xml:space="preserve">{{LINHA7_VALOR_UNIT}}</t>
  </si>
  <si>
    <t xml:space="preserve">{{LINHA8_CODIGO}}</t>
  </si>
  <si>
    <t xml:space="preserve">{{LINHA8_DESCRICAO}}</t>
  </si>
  <si>
    <t xml:space="preserve">{{LINHA8_UNIDADE}}</t>
  </si>
  <si>
    <t xml:space="preserve">{{LINHA8_QTD}}</t>
  </si>
  <si>
    <t xml:space="preserve">{{LINHA8_VALOR_UNIT}}</t>
  </si>
  <si>
    <t xml:space="preserve">{{LINHA9_CODIGO}}</t>
  </si>
  <si>
    <t xml:space="preserve">{{LINHA9_DESCRICAO}}</t>
  </si>
  <si>
    <t xml:space="preserve">{{LINHA9_UNIDADE}}</t>
  </si>
  <si>
    <t xml:space="preserve">{{LINHA9_QTD}}</t>
  </si>
  <si>
    <t xml:space="preserve">{{LINHA9_VALOR_UNIT}}</t>
  </si>
  <si>
    <t xml:space="preserve">{{LINHA10_CODIGO}}</t>
  </si>
  <si>
    <t xml:space="preserve">{{LINHA10_DESCRICAO}}</t>
  </si>
  <si>
    <t xml:space="preserve">{{LINHA10_UNIDADE}}</t>
  </si>
  <si>
    <t xml:space="preserve">{{LINHA10_QTD}}</t>
  </si>
  <si>
    <t xml:space="preserve">{{LINHA10_VALOR_UNIT}}</t>
  </si>
  <si>
    <t xml:space="preserve">{{LINHA11_CODIGO}}</t>
  </si>
  <si>
    <t xml:space="preserve">{{LINHA11_DESCRICAO}}</t>
  </si>
  <si>
    <t xml:space="preserve">{{LINHA11_UNIDADE}}</t>
  </si>
  <si>
    <t xml:space="preserve">{{LINHA11_QTD}}</t>
  </si>
  <si>
    <t xml:space="preserve">{{LINHA11_VALOR_UNIT}}</t>
  </si>
  <si>
    <t xml:space="preserve">{{LINHA12_CODIGO}}</t>
  </si>
  <si>
    <t xml:space="preserve">{{LINHA12_DESCRICAO}}</t>
  </si>
  <si>
    <t xml:space="preserve">{{LINHA12_UNIDADE}}</t>
  </si>
  <si>
    <t xml:space="preserve">{{LINHA12_QTD}}</t>
  </si>
  <si>
    <t xml:space="preserve">{{LINHA12_VALOR_UNIT}}</t>
  </si>
  <si>
    <t xml:space="preserve">Total Parcial Serviços:</t>
  </si>
  <si>
    <t xml:space="preserve">Reembolsáveis</t>
  </si>
  <si>
    <t xml:space="preserve">Valor</t>
  </si>
  <si>
    <t xml:space="preserve">Imposto NF</t>
  </si>
  <si>
    <t xml:space="preserve">Tx Administrativa</t>
  </si>
  <si>
    <t xml:space="preserve">Total Final</t>
  </si>
  <si>
    <t xml:space="preserve">Total Parcial Reembolsos:</t>
  </si>
  <si>
    <t xml:space="preserve">TOTAL</t>
  </si>
  <si>
    <t xml:space="preserve">Unidade de Medição</t>
  </si>
  <si>
    <t xml:space="preserve">DIA</t>
  </si>
  <si>
    <t xml:space="preserve">HH</t>
  </si>
  <si>
    <t xml:space="preserve">MÊS</t>
  </si>
  <si>
    <t xml:space="preserve">UN</t>
  </si>
  <si>
    <t xml:space="preserve">Lump Sum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</si>
</sst>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"/>
    <numFmt numFmtId="167" formatCode="m/d/yyyy"/>
    <numFmt numFmtId="168" formatCode="_(\$* #,##0.00_);_(\$* \(#,##0.00\);_(\$* \-??_);_(@_)"/>
    <numFmt numFmtId="169" formatCode="&quot;R$ &quot;#,##0.00;[RED]&quot;-R$ &quot;#,##0.00"/>
    <numFmt numFmtId="170" formatCode="&quot;R$ &quot;#,##0.00"/>
    <numFmt numFmtId="171" formatCode="_-&quot;R$ &quot;* #,##0.00_-;&quot;-R$ &quot;* #,##0.00_-;_-&quot;R$ &quot;* \-??_-;_-@_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0.5"/>
      <color theme="1"/>
      <name val="Arial"/>
      <family val="2"/>
      <charset val="1"/>
    </font>
    <font>
      <b val="true"/>
      <sz val="10.5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theme="1"/>
      <name val="Aptos"/>
      <family val="2"/>
      <charset val="1"/>
    </font>
    <font>
      <sz val="10.5"/>
      <name val="Arial"/>
      <family val="2"/>
      <charset val="1"/>
    </font>
    <font>
      <b val="true"/>
      <sz val="10.5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7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2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5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4" borderId="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4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0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4" borderId="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2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96" zoomScaleNormal="96" zoomScalePageLayoutView="85" workbookViewId="0">
      <selection pane="topLeft" activeCell="F11" activeCellId="0" sqref="F11"/>
    </sheetView>
  </sheetViews>
  <sheetFormatPr defaultColWidth="8.88671875" defaultRowHeight="14.25" zeroHeight="true" outlineLevelRow="0" outlineLevelCol="0"/>
  <cols>
    <col collapsed="false" customWidth="true" hidden="false" outlineLevel="0" max="1" min="1" style="0" width="2.33"/>
    <col collapsed="false" customWidth="true" hidden="false" outlineLevel="0" max="2" min="2" style="0" width="17.67"/>
    <col collapsed="false" customWidth="true" hidden="false" outlineLevel="0" max="3" min="3" style="0" width="49.77"/>
    <col collapsed="false" customWidth="true" hidden="false" outlineLevel="0" max="4" min="4" style="0" width="13.22"/>
    <col collapsed="false" customWidth="true" hidden="false" outlineLevel="0" max="5" min="5" style="0" width="20.66"/>
    <col collapsed="false" customWidth="true" hidden="false" outlineLevel="0" max="6" min="6" style="0" width="30"/>
    <col collapsed="false" customWidth="true" hidden="false" outlineLevel="0" max="7" min="7" style="0" width="22.33"/>
    <col collapsed="false" customWidth="true" hidden="false" outlineLevel="0" max="8" min="8" style="0" width="2.33"/>
    <col collapsed="false" customWidth="false" hidden="true" outlineLevel="0" max="10" min="9" style="0" width="8.88"/>
    <col collapsed="false" customWidth="true" hidden="true" outlineLevel="0" max="11" min="11" style="0" width="11.89"/>
    <col collapsed="false" customWidth="true" hidden="true" outlineLevel="0" max="13" min="12" style="0" width="12.88"/>
    <col collapsed="false" customWidth="false" hidden="true" outlineLevel="0" max="16384" min="14" style="0" width="8.88"/>
  </cols>
  <sheetData>
    <row r="1" s="2" customFormat="tru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3.25" hidden="false" customHeight="true" outlineLevel="0" collapsed="false">
      <c r="A2" s="1"/>
      <c r="B2" s="3" t="e">
        <f aca="false">#VALUE!</f>
        <v>#VALUE!</v>
      </c>
      <c r="C2" s="3"/>
      <c r="D2" s="3"/>
      <c r="E2" s="3"/>
      <c r="F2" s="4" t="s">
        <v>0</v>
      </c>
      <c r="G2" s="5" t="s">
        <v>1</v>
      </c>
      <c r="H2" s="1"/>
    </row>
    <row r="3" customFormat="false" ht="14.25" hidden="false" customHeight="false" outlineLevel="0" collapsed="false">
      <c r="A3" s="1"/>
      <c r="B3" s="3"/>
      <c r="C3" s="3"/>
      <c r="D3" s="3"/>
      <c r="E3" s="3"/>
      <c r="F3" s="6" t="s">
        <v>2</v>
      </c>
      <c r="G3" s="7" t="s">
        <v>3</v>
      </c>
      <c r="H3" s="1"/>
    </row>
    <row r="4" customFormat="false" ht="27" hidden="false" customHeight="true" outlineLevel="0" collapsed="false">
      <c r="B4" s="3"/>
      <c r="C4" s="3"/>
      <c r="D4" s="3"/>
      <c r="E4" s="3"/>
      <c r="F4" s="8" t="s">
        <v>4</v>
      </c>
      <c r="G4" s="9" t="s">
        <v>5</v>
      </c>
    </row>
    <row r="5" customFormat="false" ht="21" hidden="false" customHeight="true" outlineLevel="0" collapsed="false">
      <c r="B5" s="10" t="s">
        <v>6</v>
      </c>
      <c r="C5" s="11" t="s">
        <v>7</v>
      </c>
      <c r="D5" s="12" t="s">
        <v>8</v>
      </c>
      <c r="E5" s="13" t="s">
        <v>9</v>
      </c>
      <c r="F5" s="13"/>
      <c r="G5" s="14"/>
    </row>
    <row r="6" customFormat="false" ht="21" hidden="false" customHeight="true" outlineLevel="0" collapsed="false">
      <c r="B6" s="10" t="s">
        <v>10</v>
      </c>
      <c r="C6" s="11" t="s">
        <v>11</v>
      </c>
      <c r="D6" s="12" t="s">
        <v>8</v>
      </c>
      <c r="E6" s="13" t="s">
        <v>12</v>
      </c>
      <c r="F6" s="13"/>
      <c r="G6" s="14"/>
    </row>
    <row r="7" customFormat="false" ht="23.25" hidden="false" customHeight="true" outlineLevel="0" collapsed="false">
      <c r="B7" s="15" t="s">
        <v>13</v>
      </c>
      <c r="C7" s="13" t="s">
        <v>14</v>
      </c>
      <c r="D7" s="16"/>
      <c r="E7" s="16"/>
      <c r="F7" s="16"/>
      <c r="G7" s="17"/>
    </row>
    <row r="8" customFormat="false" ht="15" hidden="false" customHeight="true" outlineLevel="0" collapsed="false">
      <c r="B8" s="18" t="s">
        <v>15</v>
      </c>
      <c r="C8" s="18" t="s">
        <v>16</v>
      </c>
      <c r="D8" s="18" t="s">
        <v>17</v>
      </c>
      <c r="E8" s="18" t="s">
        <v>18</v>
      </c>
      <c r="F8" s="19" t="s">
        <v>19</v>
      </c>
      <c r="G8" s="19" t="s">
        <v>20</v>
      </c>
    </row>
    <row r="9" customFormat="false" ht="15" hidden="false" customHeight="true" outlineLevel="0" collapsed="false">
      <c r="B9" s="20" t="s">
        <v>21</v>
      </c>
      <c r="C9" s="20" t="s">
        <v>22</v>
      </c>
      <c r="D9" s="21" t="s">
        <v>23</v>
      </c>
      <c r="E9" s="22" t="s">
        <v>24</v>
      </c>
      <c r="F9" s="23" t="s">
        <v>25</v>
      </c>
      <c r="G9" s="24" t="n">
        <f aca="false">IFERROR(F9*E9,0)</f>
        <v>0</v>
      </c>
    </row>
    <row r="10" customFormat="false" ht="17.25" hidden="true" customHeight="true" outlineLevel="0" collapsed="false">
      <c r="B10" s="20" t="s">
        <v>26</v>
      </c>
      <c r="C10" s="20" t="s">
        <v>27</v>
      </c>
      <c r="D10" s="21" t="s">
        <v>28</v>
      </c>
      <c r="E10" s="25" t="s">
        <v>29</v>
      </c>
      <c r="F10" s="23" t="s">
        <v>30</v>
      </c>
      <c r="G10" s="24" t="n">
        <f aca="false">IFERROR(F10*E10,0)</f>
        <v>0</v>
      </c>
    </row>
    <row r="11" customFormat="false" ht="31.5" hidden="false" customHeight="true" outlineLevel="0" collapsed="false">
      <c r="B11" s="20" t="s">
        <v>31</v>
      </c>
      <c r="C11" s="20" t="s">
        <v>32</v>
      </c>
      <c r="D11" s="21" t="s">
        <v>33</v>
      </c>
      <c r="E11" s="25" t="s">
        <v>34</v>
      </c>
      <c r="F11" s="23" t="s">
        <v>35</v>
      </c>
      <c r="G11" s="24" t="n">
        <f aca="false">IFERROR(F11*E11,0)</f>
        <v>0</v>
      </c>
    </row>
    <row r="12" customFormat="false" ht="30" hidden="false" customHeight="true" outlineLevel="0" collapsed="false">
      <c r="B12" s="20" t="s">
        <v>36</v>
      </c>
      <c r="C12" s="20" t="s">
        <v>37</v>
      </c>
      <c r="D12" s="21" t="s">
        <v>38</v>
      </c>
      <c r="E12" s="25" t="s">
        <v>39</v>
      </c>
      <c r="F12" s="23" t="s">
        <v>40</v>
      </c>
      <c r="G12" s="24" t="n">
        <f aca="false">IFERROR(F12*E12,0)</f>
        <v>0</v>
      </c>
    </row>
    <row r="13" customFormat="false" ht="18.75" hidden="true" customHeight="true" outlineLevel="0" collapsed="false">
      <c r="B13" s="26" t="s">
        <v>41</v>
      </c>
      <c r="C13" s="26" t="s">
        <v>42</v>
      </c>
      <c r="D13" s="21" t="s">
        <v>43</v>
      </c>
      <c r="E13" s="25" t="s">
        <v>44</v>
      </c>
      <c r="F13" s="27" t="s">
        <v>45</v>
      </c>
      <c r="G13" s="24" t="n">
        <f aca="false">IFERROR(F13*E13,0)</f>
        <v>0</v>
      </c>
    </row>
    <row r="14" customFormat="false" ht="18.75" hidden="true" customHeight="true" outlineLevel="0" collapsed="false">
      <c r="B14" s="26" t="s">
        <v>46</v>
      </c>
      <c r="C14" s="26" t="s">
        <v>47</v>
      </c>
      <c r="D14" s="21" t="s">
        <v>48</v>
      </c>
      <c r="E14" s="25" t="s">
        <v>49</v>
      </c>
      <c r="F14" s="23" t="s">
        <v>50</v>
      </c>
      <c r="G14" s="24" t="n">
        <f aca="false">IFERROR(F14*E14,0)</f>
        <v>0</v>
      </c>
    </row>
    <row r="15" customFormat="false" ht="18.75" hidden="true" customHeight="true" outlineLevel="0" collapsed="false">
      <c r="B15" s="28" t="s">
        <v>51</v>
      </c>
      <c r="C15" s="29" t="s">
        <v>52</v>
      </c>
      <c r="D15" s="21" t="s">
        <v>53</v>
      </c>
      <c r="E15" s="25" t="s">
        <v>54</v>
      </c>
      <c r="F15" s="30" t="s">
        <v>55</v>
      </c>
      <c r="G15" s="24" t="n">
        <f aca="false">IFERROR(F15*E15,0)</f>
        <v>0</v>
      </c>
    </row>
    <row r="16" customFormat="false" ht="18.75" hidden="true" customHeight="true" outlineLevel="0" collapsed="false">
      <c r="B16" s="28" t="s">
        <v>56</v>
      </c>
      <c r="C16" s="29" t="s">
        <v>57</v>
      </c>
      <c r="D16" s="21" t="s">
        <v>58</v>
      </c>
      <c r="E16" s="25" t="s">
        <v>59</v>
      </c>
      <c r="F16" s="30" t="s">
        <v>60</v>
      </c>
      <c r="G16" s="24" t="n">
        <f aca="false">IFERROR(F16*E16,0)</f>
        <v>0</v>
      </c>
    </row>
    <row r="17" customFormat="false" ht="18.75" hidden="false" customHeight="true" outlineLevel="0" collapsed="false">
      <c r="B17" s="28" t="s">
        <v>61</v>
      </c>
      <c r="C17" s="28" t="s">
        <v>62</v>
      </c>
      <c r="D17" s="28" t="s">
        <v>63</v>
      </c>
      <c r="E17" s="31" t="s">
        <v>64</v>
      </c>
      <c r="F17" s="30" t="s">
        <v>65</v>
      </c>
      <c r="G17" s="24" t="n">
        <f aca="false">IFERROR(F17*E17,0)</f>
        <v>0</v>
      </c>
    </row>
    <row r="18" customFormat="false" ht="18.75" hidden="false" customHeight="true" outlineLevel="0" collapsed="false">
      <c r="B18" s="28" t="s">
        <v>66</v>
      </c>
      <c r="C18" s="28" t="s">
        <v>67</v>
      </c>
      <c r="D18" s="28" t="s">
        <v>68</v>
      </c>
      <c r="E18" s="31" t="s">
        <v>69</v>
      </c>
      <c r="F18" s="30" t="s">
        <v>70</v>
      </c>
      <c r="G18" s="24" t="n">
        <f aca="false">IFERROR(F18*E18,0)</f>
        <v>0</v>
      </c>
    </row>
    <row r="19" customFormat="false" ht="18" hidden="false" customHeight="true" outlineLevel="0" collapsed="false">
      <c r="B19" s="28" t="s">
        <v>71</v>
      </c>
      <c r="C19" s="28" t="s">
        <v>72</v>
      </c>
      <c r="D19" s="28" t="s">
        <v>73</v>
      </c>
      <c r="E19" s="31" t="s">
        <v>74</v>
      </c>
      <c r="F19" s="30" t="s">
        <v>75</v>
      </c>
      <c r="G19" s="24" t="n">
        <f aca="false">IFERROR(F19*E19,0)</f>
        <v>0</v>
      </c>
    </row>
    <row r="20" customFormat="false" ht="15" hidden="false" customHeight="true" outlineLevel="0" collapsed="false">
      <c r="B20" s="32" t="s">
        <v>76</v>
      </c>
      <c r="C20" s="32" t="s">
        <v>77</v>
      </c>
      <c r="D20" s="32" t="s">
        <v>78</v>
      </c>
      <c r="E20" s="33" t="s">
        <v>79</v>
      </c>
      <c r="F20" s="34" t="s">
        <v>80</v>
      </c>
      <c r="G20" s="24" t="n">
        <f aca="false">IFERROR(F20*E20,0)</f>
        <v>0</v>
      </c>
    </row>
    <row r="21" customFormat="false" ht="15" hidden="false" customHeight="true" outlineLevel="0" collapsed="false">
      <c r="B21" s="35" t="s">
        <v>81</v>
      </c>
      <c r="C21" s="35"/>
      <c r="D21" s="35"/>
      <c r="E21" s="35"/>
      <c r="F21" s="35"/>
      <c r="G21" s="36" t="n">
        <f aca="false">SUM(G9:G20)</f>
        <v>0</v>
      </c>
    </row>
    <row r="22" customFormat="false" ht="15" hidden="false" customHeight="true" outlineLevel="0" collapsed="false">
      <c r="B22" s="37"/>
      <c r="C22" s="37"/>
      <c r="D22" s="37"/>
      <c r="E22" s="37"/>
      <c r="F22" s="37"/>
      <c r="G22" s="38"/>
    </row>
    <row r="23" customFormat="false" ht="16.5" hidden="false" customHeight="true" outlineLevel="0" collapsed="false">
      <c r="B23" s="18" t="s">
        <v>15</v>
      </c>
      <c r="C23" s="18" t="s">
        <v>82</v>
      </c>
      <c r="D23" s="39" t="s">
        <v>83</v>
      </c>
      <c r="E23" s="39" t="s">
        <v>84</v>
      </c>
      <c r="F23" s="39" t="s">
        <v>85</v>
      </c>
      <c r="G23" s="40" t="s">
        <v>86</v>
      </c>
    </row>
    <row r="24" customFormat="false" ht="16.5" hidden="false" customHeight="true" outlineLevel="0" collapsed="false">
      <c r="B24" s="41" t="n">
        <v>1</v>
      </c>
      <c r="C24" s="42"/>
      <c r="D24" s="42"/>
      <c r="E24" s="43" t="n">
        <f aca="false">19.53%*G24</f>
        <v>0</v>
      </c>
      <c r="F24" s="44" t="n">
        <f aca="false">D24*1.15</f>
        <v>0</v>
      </c>
      <c r="G24" s="45" t="n">
        <f aca="false">(F24+D24)/0.8047</f>
        <v>0</v>
      </c>
    </row>
    <row r="25" customFormat="false" ht="16.5" hidden="false" customHeight="true" outlineLevel="0" collapsed="false">
      <c r="B25" s="46" t="n">
        <v>2</v>
      </c>
      <c r="C25" s="47"/>
      <c r="D25" s="47"/>
      <c r="E25" s="43"/>
      <c r="F25" s="44"/>
      <c r="G25" s="45" t="n">
        <f aca="false">(F25+D25)/0.8047</f>
        <v>0</v>
      </c>
    </row>
    <row r="26" customFormat="false" ht="16.5" hidden="false" customHeight="true" outlineLevel="0" collapsed="false">
      <c r="B26" s="46" t="n">
        <v>3</v>
      </c>
      <c r="C26" s="47"/>
      <c r="D26" s="47"/>
      <c r="E26" s="43"/>
      <c r="F26" s="44"/>
      <c r="G26" s="45" t="n">
        <f aca="false">(F26+D26)/0.8047</f>
        <v>0</v>
      </c>
    </row>
    <row r="27" customFormat="false" ht="16.5" hidden="false" customHeight="true" outlineLevel="0" collapsed="false">
      <c r="B27" s="46" t="n">
        <v>4</v>
      </c>
      <c r="C27" s="47"/>
      <c r="D27" s="47"/>
      <c r="E27" s="43"/>
      <c r="F27" s="44"/>
      <c r="G27" s="45" t="n">
        <f aca="false">(F27+D27)/0.8047</f>
        <v>0</v>
      </c>
    </row>
    <row r="28" customFormat="false" ht="16.5" hidden="false" customHeight="true" outlineLevel="0" collapsed="false">
      <c r="B28" s="48" t="n">
        <v>5</v>
      </c>
      <c r="C28" s="49"/>
      <c r="D28" s="49"/>
      <c r="E28" s="43" t="n">
        <f aca="false">19.53%*G28</f>
        <v>0</v>
      </c>
      <c r="F28" s="44" t="n">
        <f aca="false">D28*1.15</f>
        <v>0</v>
      </c>
      <c r="G28" s="45" t="n">
        <f aca="false">(F28+D28)/0.8047</f>
        <v>0</v>
      </c>
    </row>
    <row r="29" customFormat="false" ht="16.5" hidden="false" customHeight="true" outlineLevel="0" collapsed="false">
      <c r="B29" s="35" t="s">
        <v>87</v>
      </c>
      <c r="C29" s="35"/>
      <c r="D29" s="35"/>
      <c r="E29" s="35"/>
      <c r="F29" s="35"/>
      <c r="G29" s="50" t="n">
        <f aca="false">SUM(G24:G28)</f>
        <v>0</v>
      </c>
    </row>
    <row r="30" customFormat="false" ht="16.5" hidden="false" customHeight="true" outlineLevel="0" collapsed="false">
      <c r="B30" s="51"/>
      <c r="C30" s="51"/>
      <c r="D30" s="51"/>
      <c r="E30" s="52"/>
      <c r="F30" s="52"/>
      <c r="G30" s="52"/>
    </row>
    <row r="31" customFormat="false" ht="15" hidden="false" customHeight="true" outlineLevel="0" collapsed="false">
      <c r="B31" s="53"/>
      <c r="C31" s="54"/>
      <c r="D31" s="54"/>
      <c r="E31" s="54"/>
      <c r="F31" s="55" t="s">
        <v>88</v>
      </c>
      <c r="G31" s="56" t="n">
        <f aca="false">G29+G21</f>
        <v>0</v>
      </c>
    </row>
    <row r="32" customFormat="false" ht="14.25" hidden="false" customHeight="false" outlineLevel="0" collapsed="false">
      <c r="B32" s="57"/>
      <c r="C32" s="57"/>
      <c r="D32" s="57"/>
      <c r="E32" s="57"/>
      <c r="F32" s="58"/>
      <c r="G32" s="57"/>
    </row>
  </sheetData>
  <mergeCells count="3">
    <mergeCell ref="B2:E4"/>
    <mergeCell ref="B21:F21"/>
    <mergeCell ref="B29:F29"/>
  </mergeCells>
  <dataValidations count="1">
    <dataValidation allowBlank="true" errorStyle="stop" operator="between" showDropDown="false" showErrorMessage="true" showInputMessage="true" sqref="D9:D20" type="list">
      <formula1>INDIRECT("um")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.88"/>
    <col collapsed="false" customWidth="true" hidden="false" outlineLevel="0" max="2" min="2" style="0" width="20.88"/>
  </cols>
  <sheetData>
    <row r="1" customFormat="false" ht="14.25" hidden="false" customHeight="false" outlineLevel="0" collapsed="false">
      <c r="B1" s="59" t="s">
        <v>89</v>
      </c>
    </row>
    <row r="2" customFormat="false" ht="14.25" hidden="false" customHeight="false" outlineLevel="0" collapsed="false">
      <c r="B2" s="0" t="s">
        <v>90</v>
      </c>
    </row>
    <row r="3" customFormat="false" ht="14.25" hidden="false" customHeight="false" outlineLevel="0" collapsed="false">
      <c r="B3" s="0" t="s">
        <v>91</v>
      </c>
    </row>
    <row r="4" customFormat="false" ht="14.25" hidden="false" customHeight="false" outlineLevel="0" collapsed="false">
      <c r="B4" s="0" t="s">
        <v>92</v>
      </c>
    </row>
    <row r="5" customFormat="false" ht="14.25" hidden="false" customHeight="false" outlineLevel="0" collapsed="false">
      <c r="B5" s="0" t="s">
        <v>93</v>
      </c>
    </row>
    <row r="6" customFormat="false" ht="14.25" hidden="false" customHeight="false" outlineLevel="0" collapsed="false">
      <c r="B6" s="0" t="s">
        <v>94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2026-08-29T21:31:20Z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